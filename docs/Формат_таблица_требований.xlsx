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ssi\OneDrive\Рабочий стол\АПС_2\"/>
    </mc:Choice>
  </mc:AlternateContent>
  <xr:revisionPtr revIDLastSave="0" documentId="13_ncr:1_{9F3CC45F-232C-4C01-B03B-1C94B38B619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Требования" sheetId="1" r:id="rId1"/>
    <sheet name="Домены" sheetId="2" r:id="rId2"/>
    <sheet name="Расчёт ресурсов" sheetId="3" r:id="rId3"/>
    <sheet name="Доступность" sheetId="4" r:id="rId4"/>
    <sheet name="Словарь" sheetId="5" r:id="rId5"/>
  </sheets>
  <calcPr calcId="191029"/>
</workbook>
</file>

<file path=xl/calcChain.xml><?xml version="1.0" encoding="utf-8"?>
<calcChain xmlns="http://schemas.openxmlformats.org/spreadsheetml/2006/main">
  <c r="D7" i="4" l="1"/>
  <c r="D6" i="4"/>
  <c r="D30" i="3"/>
  <c r="D29" i="3"/>
  <c r="D28" i="3"/>
  <c r="D24" i="3"/>
  <c r="D11" i="3"/>
  <c r="D19" i="3"/>
  <c r="D20" i="3" s="1"/>
  <c r="D21" i="3" s="1"/>
  <c r="D25" i="3" s="1"/>
  <c r="D14" i="3"/>
  <c r="D5" i="4"/>
  <c r="D4" i="4"/>
  <c r="D3" i="4"/>
  <c r="D2" i="4"/>
  <c r="C10" i="4" s="1"/>
  <c r="D17" i="3"/>
  <c r="D18" i="3" s="1"/>
  <c r="D12" i="3"/>
  <c r="D15" i="3" l="1"/>
  <c r="D2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tc={0330B88E-D491-BB1D-7E6E-ABA7716125F1}</author>
  </authors>
  <commentList>
    <comment ref="C5" authorId="0" shapeId="0" xr:uid="{0330B88E-D491-BB1D-7E6E-ABA7716125F1}">
      <text>
        <r>
          <rPr>
            <sz val="10"/>
            <color theme="1"/>
            <rFont val="Liberation Sans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Согласно архитектуре, недостпуность этого сервиса никак не сказывается на доступности всей системы
</t>
        </r>
      </text>
    </comment>
  </commentList>
</comments>
</file>

<file path=xl/sharedStrings.xml><?xml version="1.0" encoding="utf-8"?>
<sst xmlns="http://schemas.openxmlformats.org/spreadsheetml/2006/main" count="295" uniqueCount="191">
  <si>
    <t>№</t>
  </si>
  <si>
    <t>Бизнес-требование</t>
  </si>
  <si>
    <t>Функциональное требование</t>
  </si>
  <si>
    <t>Нефункциональные требования</t>
  </si>
  <si>
    <t>Включаем в реализацию</t>
  </si>
  <si>
    <t>Да</t>
  </si>
  <si>
    <t>Нет</t>
  </si>
  <si>
    <t>Неопределено</t>
  </si>
  <si>
    <t>Функциональные домены</t>
  </si>
  <si>
    <t>Прикладные домены</t>
  </si>
  <si>
    <t>Характеристика</t>
  </si>
  <si>
    <t>Подраздел</t>
  </si>
  <si>
    <t>Значение</t>
  </si>
  <si>
    <t>Единица измерения</t>
  </si>
  <si>
    <t>Число активных пользователей в месяц (MAU)</t>
  </si>
  <si>
    <t>штук</t>
  </si>
  <si>
    <t>Число активных пользователей в день (DAU)</t>
  </si>
  <si>
    <t>В день</t>
  </si>
  <si>
    <t>В час</t>
  </si>
  <si>
    <t>В секунду</t>
  </si>
  <si>
    <t>(Ключевая операция) Просмотр изображений всеми пользователями (одновременно только одно)</t>
  </si>
  <si>
    <t>Активные часы пользователя</t>
  </si>
  <si>
    <t>час</t>
  </si>
  <si>
    <t>Мб</t>
  </si>
  <si>
    <t>Число CDN Серверов для оптимизации Read-трафика</t>
  </si>
  <si>
    <t>Соотношение read/write в системе</t>
  </si>
  <si>
    <t>год</t>
  </si>
  <si>
    <t>три года</t>
  </si>
  <si>
    <t>5 лет</t>
  </si>
  <si>
    <t>Объём хранения данных в РСУБД для таблицы LINK_USERS_PHOTO</t>
  </si>
  <si>
    <t>Компонент</t>
  </si>
  <si>
    <t>Доступность</t>
  </si>
  <si>
    <t>Формат</t>
  </si>
  <si>
    <t>Сервис авторизации</t>
  </si>
  <si>
    <t>Общая доступность</t>
  </si>
  <si>
    <t>Домен</t>
  </si>
  <si>
    <t>Система уведомлений</t>
  </si>
  <si>
    <t>Личный кабинет</t>
  </si>
  <si>
    <t>Платформа должна позволять пользователям управлять виртуальным балансом.</t>
  </si>
  <si>
    <t>Платформа должна отображать список доступных тиражей.</t>
  </si>
  <si>
    <t>Я, как пользователь, хочу видеть список активных тиражей с датой, стоимостью билета и размером призового фонда, чтобы выбрать подходящий.</t>
  </si>
  <si>
    <t>Обновление списка не реже 1 раза в 30 секунд; Поддержка до 50 000 одновременных просмотров</t>
  </si>
  <si>
    <t>Платформа должна позволять пользователям приобретать электронные билеты.</t>
  </si>
  <si>
    <t>Я, как пользователь, хочу купить электронный билет выбранного тиража, чтобы участвовать в розыгрыше.</t>
  </si>
  <si>
    <t>Исключение двойной покупки одного и того же билета; Консистентность данных — Strong consistency; Поддержка до 2000 покупок в секунду.</t>
  </si>
  <si>
    <t>Платформа должна проводить розыгрыш чисел в режиме реального времени</t>
  </si>
  <si>
    <t>Я, как пользователь, хочу видеть выпадающие числа в режиме реального времени, чтобы отслеживать свой билет.</t>
  </si>
  <si>
    <t>Поддержка до 100 000 одновременных подключений; Использование WebSocket или аналогичной технологии; Доступность во время тиража ≥ 98%</t>
  </si>
  <si>
    <t>100% точность расчётов; Логирование всех вычислений; Возможность обработки не менее 100 000 билетов за 5 секунд.</t>
  </si>
  <si>
    <t>Срок хранения данных ≥ 5 лет; Поддержка выборки по дате</t>
  </si>
  <si>
    <t>Платформа должна предоставлять интерфейс администрирования.</t>
  </si>
  <si>
    <t>Доступ только по роли Admin; Доступ только по роли Admin; Разграничение прав доступа (RBAC)</t>
  </si>
  <si>
    <t>Платформа должна уведомлять пользователей о результатах тиража.</t>
  </si>
  <si>
    <t>Я, как пользователь, хочу получать уведомление о выигрыше, чтобы быть информированным о результате.</t>
  </si>
  <si>
    <t>Поддержка email-уведомлений; Поддержка email-уведомлений</t>
  </si>
  <si>
    <t>Платформа должна поддерживать множество языков.</t>
  </si>
  <si>
    <t>Я, как пользователь, хочу пользоваться платформой на необходимом мне языке.</t>
  </si>
  <si>
    <t>Платформа должна обеспечивать регистрацию пользователей для участия в лотерее.</t>
  </si>
  <si>
    <t>Платформа должна обеспечивать авторизацию пользователей для участия в лотерее.</t>
  </si>
  <si>
    <t>Я, как пользователь, хочу зарегистрироваться по email и паролю, чтобы иметь аккаунт на платформе лотереи.</t>
  </si>
  <si>
    <t>Я, как пользователь, хочу войти в систему, чтобы получить доступ к покупке билетов и участию в тиражах.</t>
  </si>
  <si>
    <t>Время ответа API регистрации ≤ 3; Хранение паролей в хешированном виде (bcrypt или аналог); Поддержка не менее 10 000 одновременных сессий; Доступность сервиса авторизации ≥ 99%</t>
  </si>
  <si>
    <t xml:space="preserve"> Время ответа API авторизации ≤ 2 секунд</t>
  </si>
  <si>
    <t>Платформа должна автоматически определять выигрышные билеты.</t>
  </si>
  <si>
    <t>Платформа должна позволять пользователям увидеть историю операций.</t>
  </si>
  <si>
    <t>Я, как пользователь, хочу пополнять виртуальный баланс, чтобы использовать средства для покупки билетов.</t>
  </si>
  <si>
    <t>Я, как пользователь, хочу видеть историю операций, чтобы отслеживать движение средств.</t>
  </si>
  <si>
    <t>Сохранность данных транзакций — 100% (ACID-транзакции); Одновременная обработка не менее 1000 операций в секунду.</t>
  </si>
  <si>
    <t>История операций хранится не менее 3 лет;</t>
  </si>
  <si>
    <t>Платформа должна автоматически начислять выигрыш на баланс.</t>
  </si>
  <si>
    <t>Я, как пользователь, хочу, чтобы платформа автоматически проверяла мой билет.</t>
  </si>
  <si>
    <t>Я, как пользователь, хочу, чтобы платформа автоматически начисляла выигрыш.</t>
  </si>
  <si>
    <t>Возможность начисления не менее 100 000 выигрышей за 5 секунд.</t>
  </si>
  <si>
    <t>Платформа должна хранить историю тиражей.</t>
  </si>
  <si>
    <t>Платформа должна хранить историю билетов.</t>
  </si>
  <si>
    <t>Я, как пользователь, хочу видеть историю своих билетов.</t>
  </si>
  <si>
    <t>Я, как пользователь, хочу видеть результаты прошедших тиражей.</t>
  </si>
  <si>
    <t>Я, как администратор, хочу иметь возможность управлять системой.</t>
  </si>
  <si>
    <t>Пользовательский контур</t>
  </si>
  <si>
    <t>Регистрация пользователей</t>
  </si>
  <si>
    <t>API регистрации</t>
  </si>
  <si>
    <t>Авторизация пользователей</t>
  </si>
  <si>
    <t>API авторизации</t>
  </si>
  <si>
    <t>Управление профилем пользователя</t>
  </si>
  <si>
    <t>API профиля</t>
  </si>
  <si>
    <t>Разграничение прав доступа</t>
  </si>
  <si>
    <t>RBAC-механизм</t>
  </si>
  <si>
    <t>Управление тиражами</t>
  </si>
  <si>
    <t>Создание тиражей</t>
  </si>
  <si>
    <t>API управления тиражами</t>
  </si>
  <si>
    <t>Настройка параметров тиража</t>
  </si>
  <si>
    <t>Планирование времени запуска тиража</t>
  </si>
  <si>
    <t>Управление состоянием тиража</t>
  </si>
  <si>
    <t>Продажа и хранение билетов</t>
  </si>
  <si>
    <t>Генерация электронных билетов</t>
  </si>
  <si>
    <t>Покупка билетов</t>
  </si>
  <si>
    <t>API покупки билетов</t>
  </si>
  <si>
    <t>Привязка билета к пользователю</t>
  </si>
  <si>
    <t>Просмотр купленных билетов</t>
  </si>
  <si>
    <t>API чтения билетов</t>
  </si>
  <si>
    <t>Проведение розыгрыша</t>
  </si>
  <si>
    <t>Запуск тиража</t>
  </si>
  <si>
    <t>Генерация выпавших чисел</t>
  </si>
  <si>
    <t>Публикация выпавших чисел</t>
  </si>
  <si>
    <t>Event Publisher</t>
  </si>
  <si>
    <t>Завершение тиража</t>
  </si>
  <si>
    <t>Real-time взаимодействие</t>
  </si>
  <si>
    <t>Подключение пользователей к тиражу</t>
  </si>
  <si>
    <t>WebSocket Gateway</t>
  </si>
  <si>
    <t>Доставка новых чисел пользователям</t>
  </si>
  <si>
    <t>Pub/Sub механизм</t>
  </si>
  <si>
    <t>Отображение текущего состояния тиража</t>
  </si>
  <si>
    <t>API состояния тиража</t>
  </si>
  <si>
    <t>Проверка билетов и расчёт выигрышей</t>
  </si>
  <si>
    <t>Проверка совпадений в билете</t>
  </si>
  <si>
    <t>Расчёт суммы выигрыша</t>
  </si>
  <si>
    <t>Формирование итогов тиража</t>
  </si>
  <si>
    <t>Получение результатов пользователем</t>
  </si>
  <si>
    <t>API результатов</t>
  </si>
  <si>
    <t>Биллинг и движение средств</t>
  </si>
  <si>
    <t>Пополнение виртуального баланса</t>
  </si>
  <si>
    <t>API пополнения баланса</t>
  </si>
  <si>
    <t>Wallet Service</t>
  </si>
  <si>
    <t>Списание средств за билет</t>
  </si>
  <si>
    <t>API списания средств</t>
  </si>
  <si>
    <t>Начисление выигрыша</t>
  </si>
  <si>
    <t>Просмотр истории операций</t>
  </si>
  <si>
    <t>API истории операций</t>
  </si>
  <si>
    <t>История и отчётность</t>
  </si>
  <si>
    <t>Просмотр истории билетов</t>
  </si>
  <si>
    <t>API истории билетов</t>
  </si>
  <si>
    <t>Просмотр архива тиражей</t>
  </si>
  <si>
    <t>API архива тиражей</t>
  </si>
  <si>
    <t>Формирование отчётов по продажам</t>
  </si>
  <si>
    <t>Reporting Service</t>
  </si>
  <si>
    <t>Формирование отчётов по выигрышам</t>
  </si>
  <si>
    <t>Уведомление о покупке билета</t>
  </si>
  <si>
    <t>Notification Service</t>
  </si>
  <si>
    <t>Email Sender</t>
  </si>
  <si>
    <t>Уведомление о старте тиража</t>
  </si>
  <si>
    <t>Уведомление о выигрыше</t>
  </si>
  <si>
    <t>Администрирование и эксплуатация</t>
  </si>
  <si>
    <t>Управление пользователями</t>
  </si>
  <si>
    <t>Admin API</t>
  </si>
  <si>
    <t>Аудит действий администратора</t>
  </si>
  <si>
    <t>Audit Log Service</t>
  </si>
  <si>
    <t>Мониторинг состояния системы</t>
  </si>
  <si>
    <t>Healthcheck Service</t>
  </si>
  <si>
    <t>Хранилище пользователей</t>
  </si>
  <si>
    <t>Сервис сессий</t>
  </si>
  <si>
    <t>Хранилище тиражей</t>
  </si>
  <si>
    <t>Планировщик тиражей</t>
  </si>
  <si>
    <t>Сервис состояния тиража</t>
  </si>
  <si>
    <t>Сервис генерации билетов</t>
  </si>
  <si>
    <t>Хранилище билетов</t>
  </si>
  <si>
    <t>Сервис резервирования билетов</t>
  </si>
  <si>
    <t>Движок розыгрыша</t>
  </si>
  <si>
    <t>Хранилище событий тиража</t>
  </si>
  <si>
    <t>Балансировщик соединений</t>
  </si>
  <si>
    <t>In-memory cache</t>
  </si>
  <si>
    <t>Сервис проверки билетов</t>
  </si>
  <si>
    <t>Сервис расчёта выигрышей</t>
  </si>
  <si>
    <t>Хранилище результатов</t>
  </si>
  <si>
    <t>Журнал транзакций</t>
  </si>
  <si>
    <t>Система метрик</t>
  </si>
  <si>
    <t>Пиковое число пользователей в тираж</t>
  </si>
  <si>
    <t>Число тиражей в день</t>
  </si>
  <si>
    <t>Среднее число билетов на пользователя в день</t>
  </si>
  <si>
    <t>Размер билета</t>
  </si>
  <si>
    <t>Кб</t>
  </si>
  <si>
    <t>Размер события (число)</t>
  </si>
  <si>
    <t>Количество чисел в тираже</t>
  </si>
  <si>
    <t>(Ключевая операция) Покупка билета одним пользователем</t>
  </si>
  <si>
    <t>(Ключевая операция) Покупка билетов всеми пользователями</t>
  </si>
  <si>
    <t>(Ключевая операция) Получение обновлений тиража одним пользователем (100 событий за тираж, 24 тиража)</t>
  </si>
  <si>
    <t>Средний размер билета</t>
  </si>
  <si>
    <t>Write-трафик (покупка билетов)</t>
  </si>
  <si>
    <t>Кб/сек</t>
  </si>
  <si>
    <t>Read-трафик (real-time события)</t>
  </si>
  <si>
    <t>1-2</t>
  </si>
  <si>
    <t>300 к 1</t>
  </si>
  <si>
    <t>Объём хранения данных (билеты)</t>
  </si>
  <si>
    <t>Гб</t>
  </si>
  <si>
    <t>Количество нод Postgres (условно)</t>
  </si>
  <si>
    <t>Объём хранения данных в РСУБД для таблицы USERS</t>
  </si>
  <si>
    <t>Объём хранения данных в РСУБД для таблицы TICKETS</t>
  </si>
  <si>
    <t>API-шлюз</t>
  </si>
  <si>
    <t>Сервис билетов</t>
  </si>
  <si>
    <t>Сервис проведения тиража</t>
  </si>
  <si>
    <t>База данных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</si>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</sst>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E+00"/>
  </numFmts>
  <fonts count="3" x14ac:knownFonts="1">
    <font>
      <sz val="10"/>
      <color theme="1"/>
      <name val="Liberation Sans"/>
    </font>
    <font>
      <b/>
      <sz val="10"/>
      <color theme="1"/>
      <name val="Liberation Sans"/>
    </font>
    <font>
      <sz val="10"/>
      <color theme="1"/>
      <name val="Liberation Sans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/>
    </xf>
    <xf numFmtId="2" fontId="0" fillId="0" borderId="1" xfId="0" applyNumberFormat="1" applyBorder="1"/>
    <xf numFmtId="0" fontId="1" fillId="0" borderId="0" xfId="0" applyFont="1"/>
    <xf numFmtId="0" fontId="0" fillId="0" borderId="0" xfId="0" applyAlignment="1">
      <alignment horizontal="left"/>
    </xf>
    <xf numFmtId="0" fontId="1" fillId="0" borderId="5" xfId="0" applyFont="1" applyBorder="1"/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/>
    <xf numFmtId="0" fontId="0" fillId="0" borderId="5" xfId="0" applyBorder="1" applyAlignment="1">
      <alignment horizontal="left" vertical="center"/>
    </xf>
    <xf numFmtId="0" fontId="2" fillId="0" borderId="5" xfId="0" applyFont="1" applyBorder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right"/>
    </xf>
    <xf numFmtId="3" fontId="0" fillId="0" borderId="0" xfId="0" applyNumberFormat="1"/>
    <xf numFmtId="3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181" fontId="0" fillId="0" borderId="1" xfId="0" applyNumberFormat="1" applyBorder="1"/>
    <xf numFmtId="49" fontId="0" fillId="0" borderId="1" xfId="0" applyNumberFormat="1" applyBorder="1" applyAlignment="1">
      <alignment horizontal="right" wrapText="1"/>
    </xf>
    <xf numFmtId="3" fontId="0" fillId="0" borderId="0" xfId="0" applyNumberFormat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5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er Goncharov" id="{0B20CF40-9DC6-A933-3A44-5226CE978917}" userId="280957301" providerId="Teamlab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4-10-31T20:31:42.06" personId="{0B20CF40-9DC6-A933-3A44-5226CE978917}" id="{0330B88E-D491-BB1D-7E6E-ABA7716125F1}">
    <text xml:space="preserve">Согласно архитектуре, недостпуность этого сервиса никак не сказывается на доступности всей системы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C21" sqref="C21"/>
    </sheetView>
  </sheetViews>
  <sheetFormatPr defaultColWidth="10.42578125" defaultRowHeight="12.75" x14ac:dyDescent="0.2"/>
  <cols>
    <col min="1" max="1" width="3.5703125" customWidth="1"/>
    <col min="2" max="2" width="39.42578125" style="4" customWidth="1"/>
    <col min="3" max="3" width="52.140625" style="4" customWidth="1"/>
    <col min="4" max="4" width="48.140625" style="4" customWidth="1"/>
    <col min="5" max="5" width="25.140625" style="4" customWidth="1"/>
  </cols>
  <sheetData>
    <row r="1" spans="1:5" x14ac:dyDescent="0.2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51" x14ac:dyDescent="0.2">
      <c r="A2" s="2">
        <v>1</v>
      </c>
      <c r="B2" s="3" t="s">
        <v>57</v>
      </c>
      <c r="C2" s="3" t="s">
        <v>59</v>
      </c>
      <c r="D2" s="4" t="s">
        <v>61</v>
      </c>
      <c r="E2" s="3" t="s">
        <v>5</v>
      </c>
    </row>
    <row r="3" spans="1:5" ht="38.25" x14ac:dyDescent="0.2">
      <c r="A3" s="2">
        <v>2</v>
      </c>
      <c r="B3" s="3" t="s">
        <v>58</v>
      </c>
      <c r="C3" s="3" t="s">
        <v>60</v>
      </c>
      <c r="D3" s="4" t="s">
        <v>62</v>
      </c>
      <c r="E3" s="3" t="s">
        <v>5</v>
      </c>
    </row>
    <row r="4" spans="1:5" ht="38.25" x14ac:dyDescent="0.2">
      <c r="A4" s="2">
        <v>3</v>
      </c>
      <c r="B4" s="4" t="s">
        <v>38</v>
      </c>
      <c r="C4" s="3" t="s">
        <v>65</v>
      </c>
      <c r="D4" s="3" t="s">
        <v>67</v>
      </c>
      <c r="E4" s="3" t="s">
        <v>5</v>
      </c>
    </row>
    <row r="5" spans="1:5" ht="25.5" x14ac:dyDescent="0.2">
      <c r="A5" s="2">
        <v>4</v>
      </c>
      <c r="B5" s="4" t="s">
        <v>64</v>
      </c>
      <c r="C5" s="3" t="s">
        <v>66</v>
      </c>
      <c r="D5" s="3" t="s">
        <v>68</v>
      </c>
      <c r="E5" s="3" t="s">
        <v>7</v>
      </c>
    </row>
    <row r="6" spans="1:5" ht="38.25" x14ac:dyDescent="0.2">
      <c r="A6" s="2">
        <v>5</v>
      </c>
      <c r="B6" s="3" t="s">
        <v>39</v>
      </c>
      <c r="C6" s="3" t="s">
        <v>40</v>
      </c>
      <c r="D6" s="3" t="s">
        <v>41</v>
      </c>
      <c r="E6" s="3" t="s">
        <v>5</v>
      </c>
    </row>
    <row r="7" spans="1:5" ht="38.25" x14ac:dyDescent="0.2">
      <c r="A7" s="2">
        <v>6</v>
      </c>
      <c r="B7" s="3" t="s">
        <v>42</v>
      </c>
      <c r="C7" s="3" t="s">
        <v>43</v>
      </c>
      <c r="D7" s="3" t="s">
        <v>44</v>
      </c>
      <c r="E7" s="3" t="s">
        <v>5</v>
      </c>
    </row>
    <row r="8" spans="1:5" ht="51" x14ac:dyDescent="0.2">
      <c r="A8" s="2">
        <v>7</v>
      </c>
      <c r="B8" s="3" t="s">
        <v>45</v>
      </c>
      <c r="C8" s="3" t="s">
        <v>46</v>
      </c>
      <c r="D8" s="3" t="s">
        <v>47</v>
      </c>
      <c r="E8" s="3" t="s">
        <v>5</v>
      </c>
    </row>
    <row r="9" spans="1:5" ht="38.25" x14ac:dyDescent="0.2">
      <c r="A9" s="2">
        <v>8</v>
      </c>
      <c r="B9" s="3" t="s">
        <v>63</v>
      </c>
      <c r="C9" s="3" t="s">
        <v>70</v>
      </c>
      <c r="D9" s="3" t="s">
        <v>48</v>
      </c>
      <c r="E9" s="3" t="s">
        <v>5</v>
      </c>
    </row>
    <row r="10" spans="1:5" ht="25.5" x14ac:dyDescent="0.2">
      <c r="A10" s="2">
        <v>9</v>
      </c>
      <c r="B10" s="3" t="s">
        <v>69</v>
      </c>
      <c r="C10" s="3" t="s">
        <v>71</v>
      </c>
      <c r="D10" s="3" t="s">
        <v>72</v>
      </c>
      <c r="E10" s="3" t="s">
        <v>5</v>
      </c>
    </row>
    <row r="11" spans="1:5" ht="25.5" x14ac:dyDescent="0.2">
      <c r="A11" s="2">
        <v>10</v>
      </c>
      <c r="B11" s="3" t="s">
        <v>73</v>
      </c>
      <c r="C11" s="3" t="s">
        <v>75</v>
      </c>
      <c r="D11" s="3" t="s">
        <v>49</v>
      </c>
      <c r="E11" s="3" t="s">
        <v>7</v>
      </c>
    </row>
    <row r="12" spans="1:5" ht="25.5" x14ac:dyDescent="0.2">
      <c r="A12" s="2">
        <v>11</v>
      </c>
      <c r="B12" s="3" t="s">
        <v>74</v>
      </c>
      <c r="C12" s="3" t="s">
        <v>76</v>
      </c>
      <c r="D12" s="3" t="s">
        <v>49</v>
      </c>
      <c r="E12" s="3" t="s">
        <v>7</v>
      </c>
    </row>
    <row r="13" spans="1:5" ht="25.5" x14ac:dyDescent="0.2">
      <c r="A13" s="2">
        <v>12</v>
      </c>
      <c r="B13" s="3" t="s">
        <v>50</v>
      </c>
      <c r="C13" s="3" t="s">
        <v>77</v>
      </c>
      <c r="D13" s="3" t="s">
        <v>51</v>
      </c>
      <c r="E13" s="3" t="s">
        <v>5</v>
      </c>
    </row>
    <row r="14" spans="1:5" ht="25.5" x14ac:dyDescent="0.2">
      <c r="A14" s="2">
        <v>13</v>
      </c>
      <c r="B14" s="3" t="s">
        <v>52</v>
      </c>
      <c r="C14" s="3" t="s">
        <v>53</v>
      </c>
      <c r="D14" s="3" t="s">
        <v>54</v>
      </c>
      <c r="E14" s="3" t="s">
        <v>7</v>
      </c>
    </row>
    <row r="15" spans="1:5" ht="25.5" x14ac:dyDescent="0.2">
      <c r="A15" s="2">
        <v>14</v>
      </c>
      <c r="B15" s="3" t="s">
        <v>55</v>
      </c>
      <c r="C15" s="3" t="s">
        <v>56</v>
      </c>
      <c r="D15" s="3"/>
      <c r="E15" s="3" t="s">
        <v>7</v>
      </c>
    </row>
  </sheetData>
  <pageMargins left="0.7" right="0.7" top="0.75" bottom="0.75" header="0.51181102362204689" footer="0.51181102362204689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Словарь!$B$1:$B$3</xm:f>
          </x14:formula1>
          <xm:sqref>E2:E15</xm:sqref>
        </x14:dataValidation>
      </x14:dataValidations>
    </ext>
    <ext uri="{231B7EB2-2AFC-4442-B178-5FFDF5851E7C}">
      <userProtectedRanges>
        <userProtectedRange name="Требования" sqref="A1:E10">
          <users>
            <user id="280957301" name="Alexander Goncharov"/>
          </users>
        </userProtectedRange>
      </userProtectedRange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topLeftCell="A52" zoomScale="160" zoomScaleNormal="160" workbookViewId="0">
      <selection activeCell="C13" sqref="C13"/>
    </sheetView>
  </sheetViews>
  <sheetFormatPr defaultColWidth="9" defaultRowHeight="12.75" x14ac:dyDescent="0.2"/>
  <cols>
    <col min="1" max="1" width="3" customWidth="1"/>
    <col min="2" max="2" width="35.5703125" bestFit="1" customWidth="1"/>
    <col min="3" max="3" width="69.5703125" style="9" customWidth="1"/>
    <col min="4" max="4" width="53.85546875" customWidth="1"/>
  </cols>
  <sheetData>
    <row r="1" spans="1:4" x14ac:dyDescent="0.2">
      <c r="A1" s="10" t="s">
        <v>0</v>
      </c>
      <c r="B1" s="11" t="s">
        <v>35</v>
      </c>
      <c r="C1" s="12" t="s">
        <v>8</v>
      </c>
      <c r="D1" s="10" t="s">
        <v>9</v>
      </c>
    </row>
    <row r="2" spans="1:4" x14ac:dyDescent="0.2">
      <c r="A2" s="13">
        <v>1</v>
      </c>
      <c r="B2" s="17" t="s">
        <v>78</v>
      </c>
      <c r="C2" s="16" t="s">
        <v>79</v>
      </c>
      <c r="D2" s="13" t="s">
        <v>80</v>
      </c>
    </row>
    <row r="3" spans="1:4" x14ac:dyDescent="0.2">
      <c r="A3" s="13">
        <v>2</v>
      </c>
      <c r="B3" s="17"/>
      <c r="C3" s="16"/>
      <c r="D3" s="15" t="s">
        <v>148</v>
      </c>
    </row>
    <row r="4" spans="1:4" x14ac:dyDescent="0.2">
      <c r="A4" s="13">
        <v>3</v>
      </c>
      <c r="B4" s="17"/>
      <c r="C4" s="16" t="s">
        <v>81</v>
      </c>
      <c r="D4" s="13" t="s">
        <v>82</v>
      </c>
    </row>
    <row r="5" spans="1:4" x14ac:dyDescent="0.2">
      <c r="A5" s="13">
        <v>4</v>
      </c>
      <c r="B5" s="17"/>
      <c r="C5" s="16"/>
      <c r="D5" s="15" t="s">
        <v>149</v>
      </c>
    </row>
    <row r="6" spans="1:4" x14ac:dyDescent="0.2">
      <c r="A6" s="13">
        <v>5</v>
      </c>
      <c r="B6" s="17"/>
      <c r="C6" s="16" t="s">
        <v>83</v>
      </c>
      <c r="D6" s="13" t="s">
        <v>84</v>
      </c>
    </row>
    <row r="7" spans="1:4" x14ac:dyDescent="0.2">
      <c r="A7" s="13">
        <v>6</v>
      </c>
      <c r="B7" s="17"/>
      <c r="C7" s="16"/>
      <c r="D7" s="15" t="s">
        <v>148</v>
      </c>
    </row>
    <row r="8" spans="1:4" x14ac:dyDescent="0.2">
      <c r="A8" s="13">
        <v>7</v>
      </c>
      <c r="B8" s="17"/>
      <c r="C8" s="14" t="s">
        <v>85</v>
      </c>
      <c r="D8" s="13" t="s">
        <v>86</v>
      </c>
    </row>
    <row r="9" spans="1:4" x14ac:dyDescent="0.2">
      <c r="A9" s="13">
        <v>8</v>
      </c>
      <c r="B9" s="17" t="s">
        <v>87</v>
      </c>
      <c r="C9" s="16" t="s">
        <v>88</v>
      </c>
      <c r="D9" s="13" t="s">
        <v>89</v>
      </c>
    </row>
    <row r="10" spans="1:4" x14ac:dyDescent="0.2">
      <c r="A10" s="13">
        <v>9</v>
      </c>
      <c r="B10" s="17"/>
      <c r="C10" s="16"/>
      <c r="D10" s="15" t="s">
        <v>150</v>
      </c>
    </row>
    <row r="11" spans="1:4" x14ac:dyDescent="0.2">
      <c r="A11" s="13">
        <v>10</v>
      </c>
      <c r="B11" s="17"/>
      <c r="C11" s="16" t="s">
        <v>90</v>
      </c>
      <c r="D11" s="13" t="s">
        <v>89</v>
      </c>
    </row>
    <row r="12" spans="1:4" x14ac:dyDescent="0.2">
      <c r="A12" s="13">
        <v>11</v>
      </c>
      <c r="B12" s="17"/>
      <c r="C12" s="16"/>
      <c r="D12" s="15" t="s">
        <v>150</v>
      </c>
    </row>
    <row r="13" spans="1:4" x14ac:dyDescent="0.2">
      <c r="A13" s="13">
        <v>12</v>
      </c>
      <c r="B13" s="17"/>
      <c r="C13" s="14" t="s">
        <v>91</v>
      </c>
      <c r="D13" s="15" t="s">
        <v>151</v>
      </c>
    </row>
    <row r="14" spans="1:4" x14ac:dyDescent="0.2">
      <c r="A14" s="13">
        <v>13</v>
      </c>
      <c r="B14" s="17"/>
      <c r="C14" s="16" t="s">
        <v>92</v>
      </c>
      <c r="D14" s="15" t="s">
        <v>152</v>
      </c>
    </row>
    <row r="15" spans="1:4" x14ac:dyDescent="0.2">
      <c r="A15" s="13">
        <v>14</v>
      </c>
      <c r="B15" s="17"/>
      <c r="C15" s="16"/>
      <c r="D15" s="15" t="s">
        <v>150</v>
      </c>
    </row>
    <row r="16" spans="1:4" x14ac:dyDescent="0.2">
      <c r="A16" s="13">
        <v>15</v>
      </c>
      <c r="B16" s="17" t="s">
        <v>93</v>
      </c>
      <c r="C16" s="16" t="s">
        <v>94</v>
      </c>
      <c r="D16" s="15" t="s">
        <v>153</v>
      </c>
    </row>
    <row r="17" spans="1:4" x14ac:dyDescent="0.2">
      <c r="A17" s="13">
        <v>16</v>
      </c>
      <c r="B17" s="17"/>
      <c r="C17" s="16"/>
      <c r="D17" s="15" t="s">
        <v>154</v>
      </c>
    </row>
    <row r="18" spans="1:4" x14ac:dyDescent="0.2">
      <c r="A18" s="13">
        <v>17</v>
      </c>
      <c r="B18" s="17"/>
      <c r="C18" s="16" t="s">
        <v>95</v>
      </c>
      <c r="D18" s="13" t="s">
        <v>96</v>
      </c>
    </row>
    <row r="19" spans="1:4" x14ac:dyDescent="0.2">
      <c r="A19" s="13">
        <v>18</v>
      </c>
      <c r="B19" s="17"/>
      <c r="C19" s="16"/>
      <c r="D19" s="15" t="s">
        <v>155</v>
      </c>
    </row>
    <row r="20" spans="1:4" x14ac:dyDescent="0.2">
      <c r="A20" s="13">
        <v>19</v>
      </c>
      <c r="B20" s="17"/>
      <c r="C20" s="16" t="s">
        <v>97</v>
      </c>
      <c r="D20" s="13" t="s">
        <v>96</v>
      </c>
    </row>
    <row r="21" spans="1:4" x14ac:dyDescent="0.2">
      <c r="A21" s="13">
        <v>20</v>
      </c>
      <c r="B21" s="17"/>
      <c r="C21" s="16"/>
      <c r="D21" s="15" t="s">
        <v>154</v>
      </c>
    </row>
    <row r="22" spans="1:4" x14ac:dyDescent="0.2">
      <c r="A22" s="13">
        <v>21</v>
      </c>
      <c r="B22" s="17"/>
      <c r="C22" s="16" t="s">
        <v>98</v>
      </c>
      <c r="D22" s="13" t="s">
        <v>99</v>
      </c>
    </row>
    <row r="23" spans="1:4" x14ac:dyDescent="0.2">
      <c r="A23" s="13">
        <v>22</v>
      </c>
      <c r="B23" s="17"/>
      <c r="C23" s="16"/>
      <c r="D23" s="15" t="s">
        <v>154</v>
      </c>
    </row>
    <row r="24" spans="1:4" x14ac:dyDescent="0.2">
      <c r="A24" s="13">
        <v>23</v>
      </c>
      <c r="B24" s="17" t="s">
        <v>100</v>
      </c>
      <c r="C24" s="16" t="s">
        <v>101</v>
      </c>
      <c r="D24" s="15" t="s">
        <v>156</v>
      </c>
    </row>
    <row r="25" spans="1:4" x14ac:dyDescent="0.2">
      <c r="A25" s="13">
        <v>24</v>
      </c>
      <c r="B25" s="17"/>
      <c r="C25" s="16"/>
      <c r="D25" s="15" t="s">
        <v>152</v>
      </c>
    </row>
    <row r="26" spans="1:4" x14ac:dyDescent="0.2">
      <c r="A26" s="13">
        <v>25</v>
      </c>
      <c r="B26" s="17"/>
      <c r="C26" s="14" t="s">
        <v>102</v>
      </c>
      <c r="D26" s="15" t="s">
        <v>156</v>
      </c>
    </row>
    <row r="27" spans="1:4" x14ac:dyDescent="0.2">
      <c r="A27" s="13">
        <v>26</v>
      </c>
      <c r="B27" s="17"/>
      <c r="C27" s="16" t="s">
        <v>103</v>
      </c>
      <c r="D27" s="13" t="s">
        <v>104</v>
      </c>
    </row>
    <row r="28" spans="1:4" x14ac:dyDescent="0.2">
      <c r="A28" s="13">
        <v>27</v>
      </c>
      <c r="B28" s="17"/>
      <c r="C28" s="16"/>
      <c r="D28" s="15" t="s">
        <v>157</v>
      </c>
    </row>
    <row r="29" spans="1:4" x14ac:dyDescent="0.2">
      <c r="A29" s="13">
        <v>28</v>
      </c>
      <c r="B29" s="17"/>
      <c r="C29" s="16" t="s">
        <v>105</v>
      </c>
      <c r="D29" s="15" t="s">
        <v>152</v>
      </c>
    </row>
    <row r="30" spans="1:4" x14ac:dyDescent="0.2">
      <c r="A30" s="13">
        <v>29</v>
      </c>
      <c r="B30" s="17"/>
      <c r="C30" s="16"/>
      <c r="D30" s="15" t="s">
        <v>150</v>
      </c>
    </row>
    <row r="31" spans="1:4" x14ac:dyDescent="0.2">
      <c r="A31" s="13">
        <v>30</v>
      </c>
      <c r="B31" s="17" t="s">
        <v>106</v>
      </c>
      <c r="C31" s="16" t="s">
        <v>107</v>
      </c>
      <c r="D31" s="13" t="s">
        <v>108</v>
      </c>
    </row>
    <row r="32" spans="1:4" x14ac:dyDescent="0.2">
      <c r="A32" s="13">
        <v>31</v>
      </c>
      <c r="B32" s="17"/>
      <c r="C32" s="16"/>
      <c r="D32" s="15" t="s">
        <v>158</v>
      </c>
    </row>
    <row r="33" spans="1:4" x14ac:dyDescent="0.2">
      <c r="A33" s="13">
        <v>32</v>
      </c>
      <c r="B33" s="17"/>
      <c r="C33" s="16" t="s">
        <v>109</v>
      </c>
      <c r="D33" s="13" t="s">
        <v>108</v>
      </c>
    </row>
    <row r="34" spans="1:4" x14ac:dyDescent="0.2">
      <c r="A34" s="13">
        <v>33</v>
      </c>
      <c r="B34" s="17"/>
      <c r="C34" s="16"/>
      <c r="D34" s="13" t="s">
        <v>110</v>
      </c>
    </row>
    <row r="35" spans="1:4" x14ac:dyDescent="0.2">
      <c r="A35" s="13">
        <v>34</v>
      </c>
      <c r="B35" s="17"/>
      <c r="C35" s="16" t="s">
        <v>111</v>
      </c>
      <c r="D35" s="13" t="s">
        <v>112</v>
      </c>
    </row>
    <row r="36" spans="1:4" x14ac:dyDescent="0.2">
      <c r="A36" s="13">
        <v>35</v>
      </c>
      <c r="B36" s="17"/>
      <c r="C36" s="16"/>
      <c r="D36" s="15" t="s">
        <v>159</v>
      </c>
    </row>
    <row r="37" spans="1:4" x14ac:dyDescent="0.2">
      <c r="A37" s="13">
        <v>36</v>
      </c>
      <c r="B37" s="17" t="s">
        <v>113</v>
      </c>
      <c r="C37" s="16" t="s">
        <v>114</v>
      </c>
      <c r="D37" s="15" t="s">
        <v>160</v>
      </c>
    </row>
    <row r="38" spans="1:4" x14ac:dyDescent="0.2">
      <c r="A38" s="13">
        <v>37</v>
      </c>
      <c r="B38" s="17"/>
      <c r="C38" s="16"/>
      <c r="D38" s="15" t="s">
        <v>154</v>
      </c>
    </row>
    <row r="39" spans="1:4" x14ac:dyDescent="0.2">
      <c r="A39" s="13">
        <v>38</v>
      </c>
      <c r="B39" s="17"/>
      <c r="C39" s="14" t="s">
        <v>115</v>
      </c>
      <c r="D39" s="15" t="s">
        <v>161</v>
      </c>
    </row>
    <row r="40" spans="1:4" x14ac:dyDescent="0.2">
      <c r="A40" s="13">
        <v>39</v>
      </c>
      <c r="B40" s="17"/>
      <c r="C40" s="16" t="s">
        <v>116</v>
      </c>
      <c r="D40" s="15" t="s">
        <v>161</v>
      </c>
    </row>
    <row r="41" spans="1:4" x14ac:dyDescent="0.2">
      <c r="A41" s="13">
        <v>40</v>
      </c>
      <c r="B41" s="17"/>
      <c r="C41" s="16"/>
      <c r="D41" s="15" t="s">
        <v>162</v>
      </c>
    </row>
    <row r="42" spans="1:4" x14ac:dyDescent="0.2">
      <c r="A42" s="13">
        <v>41</v>
      </c>
      <c r="B42" s="17"/>
      <c r="C42" s="16" t="s">
        <v>117</v>
      </c>
      <c r="D42" s="13" t="s">
        <v>118</v>
      </c>
    </row>
    <row r="43" spans="1:4" x14ac:dyDescent="0.2">
      <c r="A43" s="13">
        <v>42</v>
      </c>
      <c r="B43" s="17"/>
      <c r="C43" s="16"/>
      <c r="D43" s="15" t="s">
        <v>162</v>
      </c>
    </row>
    <row r="44" spans="1:4" x14ac:dyDescent="0.2">
      <c r="A44" s="13">
        <v>43</v>
      </c>
      <c r="B44" s="17" t="s">
        <v>119</v>
      </c>
      <c r="C44" s="16" t="s">
        <v>120</v>
      </c>
      <c r="D44" s="13" t="s">
        <v>121</v>
      </c>
    </row>
    <row r="45" spans="1:4" x14ac:dyDescent="0.2">
      <c r="A45" s="13">
        <v>44</v>
      </c>
      <c r="B45" s="17"/>
      <c r="C45" s="16"/>
      <c r="D45" s="13" t="s">
        <v>122</v>
      </c>
    </row>
    <row r="46" spans="1:4" x14ac:dyDescent="0.2">
      <c r="A46" s="13">
        <v>45</v>
      </c>
      <c r="B46" s="17"/>
      <c r="C46" s="16" t="s">
        <v>123</v>
      </c>
      <c r="D46" s="13" t="s">
        <v>124</v>
      </c>
    </row>
    <row r="47" spans="1:4" x14ac:dyDescent="0.2">
      <c r="A47" s="13">
        <v>46</v>
      </c>
      <c r="B47" s="17"/>
      <c r="C47" s="16"/>
      <c r="D47" s="13" t="s">
        <v>122</v>
      </c>
    </row>
    <row r="48" spans="1:4" x14ac:dyDescent="0.2">
      <c r="A48" s="13">
        <v>47</v>
      </c>
      <c r="B48" s="17"/>
      <c r="C48" s="16" t="s">
        <v>125</v>
      </c>
      <c r="D48" s="13" t="s">
        <v>122</v>
      </c>
    </row>
    <row r="49" spans="1:4" x14ac:dyDescent="0.2">
      <c r="A49" s="13">
        <v>48</v>
      </c>
      <c r="B49" s="17"/>
      <c r="C49" s="16"/>
      <c r="D49" s="15" t="s">
        <v>163</v>
      </c>
    </row>
    <row r="50" spans="1:4" x14ac:dyDescent="0.2">
      <c r="A50" s="13">
        <v>49</v>
      </c>
      <c r="B50" s="17"/>
      <c r="C50" s="16" t="s">
        <v>126</v>
      </c>
      <c r="D50" s="13" t="s">
        <v>127</v>
      </c>
    </row>
    <row r="51" spans="1:4" x14ac:dyDescent="0.2">
      <c r="A51" s="13">
        <v>50</v>
      </c>
      <c r="B51" s="17"/>
      <c r="C51" s="16"/>
      <c r="D51" s="15" t="s">
        <v>163</v>
      </c>
    </row>
    <row r="52" spans="1:4" x14ac:dyDescent="0.2">
      <c r="A52" s="13">
        <v>51</v>
      </c>
      <c r="B52" s="17" t="s">
        <v>128</v>
      </c>
      <c r="C52" s="16" t="s">
        <v>129</v>
      </c>
      <c r="D52" s="13" t="s">
        <v>130</v>
      </c>
    </row>
    <row r="53" spans="1:4" x14ac:dyDescent="0.2">
      <c r="A53" s="13">
        <v>52</v>
      </c>
      <c r="B53" s="17"/>
      <c r="C53" s="16"/>
      <c r="D53" s="15" t="s">
        <v>154</v>
      </c>
    </row>
    <row r="54" spans="1:4" x14ac:dyDescent="0.2">
      <c r="A54" s="13">
        <v>53</v>
      </c>
      <c r="B54" s="17"/>
      <c r="C54" s="16" t="s">
        <v>131</v>
      </c>
      <c r="D54" s="13" t="s">
        <v>132</v>
      </c>
    </row>
    <row r="55" spans="1:4" x14ac:dyDescent="0.2">
      <c r="A55" s="13">
        <v>54</v>
      </c>
      <c r="B55" s="17"/>
      <c r="C55" s="16"/>
      <c r="D55" s="15" t="s">
        <v>150</v>
      </c>
    </row>
    <row r="56" spans="1:4" x14ac:dyDescent="0.2">
      <c r="A56" s="13">
        <v>55</v>
      </c>
      <c r="B56" s="17"/>
      <c r="C56" s="14" t="s">
        <v>133</v>
      </c>
      <c r="D56" s="13" t="s">
        <v>134</v>
      </c>
    </row>
    <row r="57" spans="1:4" x14ac:dyDescent="0.2">
      <c r="A57" s="13">
        <v>56</v>
      </c>
      <c r="B57" s="17"/>
      <c r="C57" s="14" t="s">
        <v>135</v>
      </c>
      <c r="D57" s="13" t="s">
        <v>134</v>
      </c>
    </row>
    <row r="58" spans="1:4" x14ac:dyDescent="0.2">
      <c r="A58" s="13">
        <v>57</v>
      </c>
      <c r="B58" s="17" t="s">
        <v>36</v>
      </c>
      <c r="C58" s="16" t="s">
        <v>136</v>
      </c>
      <c r="D58" s="13" t="s">
        <v>137</v>
      </c>
    </row>
    <row r="59" spans="1:4" x14ac:dyDescent="0.2">
      <c r="A59" s="13">
        <v>58</v>
      </c>
      <c r="B59" s="17"/>
      <c r="C59" s="16"/>
      <c r="D59" s="13" t="s">
        <v>138</v>
      </c>
    </row>
    <row r="60" spans="1:4" x14ac:dyDescent="0.2">
      <c r="A60" s="13">
        <v>59</v>
      </c>
      <c r="B60" s="17"/>
      <c r="C60" s="16" t="s">
        <v>139</v>
      </c>
      <c r="D60" s="13" t="s">
        <v>137</v>
      </c>
    </row>
    <row r="61" spans="1:4" x14ac:dyDescent="0.2">
      <c r="A61" s="13">
        <v>60</v>
      </c>
      <c r="B61" s="17"/>
      <c r="C61" s="16"/>
      <c r="D61" s="13" t="s">
        <v>138</v>
      </c>
    </row>
    <row r="62" spans="1:4" x14ac:dyDescent="0.2">
      <c r="A62" s="13">
        <v>61</v>
      </c>
      <c r="B62" s="17"/>
      <c r="C62" s="16" t="s">
        <v>140</v>
      </c>
      <c r="D62" s="13" t="s">
        <v>137</v>
      </c>
    </row>
    <row r="63" spans="1:4" x14ac:dyDescent="0.2">
      <c r="A63" s="13">
        <v>62</v>
      </c>
      <c r="B63" s="17"/>
      <c r="C63" s="16"/>
      <c r="D63" s="13" t="s">
        <v>138</v>
      </c>
    </row>
    <row r="64" spans="1:4" x14ac:dyDescent="0.2">
      <c r="A64" s="13">
        <v>63</v>
      </c>
      <c r="B64" s="17" t="s">
        <v>141</v>
      </c>
      <c r="C64" s="16" t="s">
        <v>142</v>
      </c>
      <c r="D64" s="13" t="s">
        <v>143</v>
      </c>
    </row>
    <row r="65" spans="1:4" x14ac:dyDescent="0.2">
      <c r="A65" s="13">
        <v>64</v>
      </c>
      <c r="B65" s="17"/>
      <c r="C65" s="16"/>
      <c r="D65" s="15" t="s">
        <v>148</v>
      </c>
    </row>
    <row r="66" spans="1:4" x14ac:dyDescent="0.2">
      <c r="A66" s="13">
        <v>65</v>
      </c>
      <c r="B66" s="17"/>
      <c r="C66" s="16" t="s">
        <v>87</v>
      </c>
      <c r="D66" s="13" t="s">
        <v>143</v>
      </c>
    </row>
    <row r="67" spans="1:4" x14ac:dyDescent="0.2">
      <c r="A67" s="13">
        <v>66</v>
      </c>
      <c r="B67" s="17"/>
      <c r="C67" s="16"/>
      <c r="D67" s="15" t="s">
        <v>150</v>
      </c>
    </row>
    <row r="68" spans="1:4" x14ac:dyDescent="0.2">
      <c r="A68" s="13">
        <v>67</v>
      </c>
      <c r="B68" s="17"/>
      <c r="C68" s="14" t="s">
        <v>144</v>
      </c>
      <c r="D68" s="13" t="s">
        <v>145</v>
      </c>
    </row>
    <row r="69" spans="1:4" x14ac:dyDescent="0.2">
      <c r="A69" s="13">
        <v>68</v>
      </c>
      <c r="B69" s="17"/>
      <c r="C69" s="16" t="s">
        <v>146</v>
      </c>
      <c r="D69" s="13" t="s">
        <v>147</v>
      </c>
    </row>
    <row r="70" spans="1:4" x14ac:dyDescent="0.2">
      <c r="A70" s="13">
        <v>69</v>
      </c>
      <c r="B70" s="17"/>
      <c r="C70" s="16"/>
      <c r="D70" s="15" t="s">
        <v>164</v>
      </c>
    </row>
  </sheetData>
  <mergeCells count="41">
    <mergeCell ref="C2:C3"/>
    <mergeCell ref="C4:C5"/>
    <mergeCell ref="C6:C7"/>
    <mergeCell ref="C9:C10"/>
    <mergeCell ref="C11:C12"/>
    <mergeCell ref="C14:C15"/>
    <mergeCell ref="C16:C17"/>
    <mergeCell ref="C18:C19"/>
    <mergeCell ref="C20:C21"/>
    <mergeCell ref="C22:C23"/>
    <mergeCell ref="C24:C25"/>
    <mergeCell ref="C27:C28"/>
    <mergeCell ref="C29:C30"/>
    <mergeCell ref="C31:C32"/>
    <mergeCell ref="C33:C34"/>
    <mergeCell ref="C35:C36"/>
    <mergeCell ref="C37:C38"/>
    <mergeCell ref="C40:C41"/>
    <mergeCell ref="C42:C43"/>
    <mergeCell ref="C64:C65"/>
    <mergeCell ref="C44:C45"/>
    <mergeCell ref="C46:C47"/>
    <mergeCell ref="C48:C49"/>
    <mergeCell ref="C50:C51"/>
    <mergeCell ref="C52:C53"/>
    <mergeCell ref="C66:C67"/>
    <mergeCell ref="C69:C70"/>
    <mergeCell ref="B2:B8"/>
    <mergeCell ref="B9:B15"/>
    <mergeCell ref="B16:B23"/>
    <mergeCell ref="B24:B30"/>
    <mergeCell ref="B31:B36"/>
    <mergeCell ref="B37:B43"/>
    <mergeCell ref="B44:B51"/>
    <mergeCell ref="B52:B57"/>
    <mergeCell ref="B58:B63"/>
    <mergeCell ref="B64:B70"/>
    <mergeCell ref="C54:C55"/>
    <mergeCell ref="C58:C59"/>
    <mergeCell ref="C60:C61"/>
    <mergeCell ref="C62:C63"/>
  </mergeCells>
  <pageMargins left="0.70078740157480324" right="0.70078740157480324" top="0.75196850393700787" bottom="0.75196850393700787" header="0.3" footer="0.3"/>
  <pageSetup paperSize="9" orientation="portrait"/>
  <extLst>
    <ext uri="{231B7EB2-2AFC-4442-B178-5FFDF5851E7C}">
      <userProtectedRanges>
        <userProtectedRange name="Домены" sqref="A1:C13">
          <users>
            <user id="280957301" name="Alexander Goncharov"/>
          </users>
        </userProtectedRange>
      </userProtectedRange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abSelected="1" zoomScale="115" zoomScaleNormal="115" workbookViewId="0">
      <selection activeCell="A43" sqref="A43"/>
    </sheetView>
  </sheetViews>
  <sheetFormatPr defaultColWidth="9" defaultRowHeight="12.75" x14ac:dyDescent="0.2"/>
  <cols>
    <col min="1" max="1" width="10.140625" customWidth="1"/>
    <col min="2" max="2" width="60.85546875" customWidth="1"/>
    <col min="3" max="3" width="15.85546875" customWidth="1"/>
    <col min="4" max="4" width="22.5703125" customWidth="1"/>
    <col min="5" max="5" width="14.5703125" customWidth="1"/>
  </cols>
  <sheetData>
    <row r="1" spans="1:5" ht="25.5" x14ac:dyDescent="0.2">
      <c r="A1" s="1" t="s">
        <v>0</v>
      </c>
      <c r="B1" s="1" t="s">
        <v>10</v>
      </c>
      <c r="C1" s="1" t="s">
        <v>11</v>
      </c>
      <c r="D1" s="1" t="s">
        <v>12</v>
      </c>
      <c r="E1" s="5" t="s">
        <v>13</v>
      </c>
    </row>
    <row r="2" spans="1:5" x14ac:dyDescent="0.2">
      <c r="A2" s="6">
        <v>1</v>
      </c>
      <c r="B2" s="2" t="s">
        <v>14</v>
      </c>
      <c r="C2" s="2"/>
      <c r="D2" s="28">
        <v>1000000</v>
      </c>
      <c r="E2" s="2" t="s">
        <v>15</v>
      </c>
    </row>
    <row r="3" spans="1:5" x14ac:dyDescent="0.2">
      <c r="A3" s="6">
        <v>2</v>
      </c>
      <c r="B3" s="2" t="s">
        <v>16</v>
      </c>
      <c r="C3" s="2"/>
      <c r="D3" s="29">
        <v>100000</v>
      </c>
      <c r="E3" s="2" t="s">
        <v>15</v>
      </c>
    </row>
    <row r="4" spans="1:5" x14ac:dyDescent="0.2">
      <c r="A4" s="6">
        <v>3</v>
      </c>
      <c r="B4" s="2" t="s">
        <v>165</v>
      </c>
      <c r="C4" s="2"/>
      <c r="D4" s="29">
        <v>50000</v>
      </c>
      <c r="E4" s="2" t="s">
        <v>15</v>
      </c>
    </row>
    <row r="5" spans="1:5" x14ac:dyDescent="0.2">
      <c r="A5" s="6">
        <v>4</v>
      </c>
      <c r="B5" s="2" t="s">
        <v>166</v>
      </c>
      <c r="C5" s="2"/>
      <c r="D5" s="29">
        <v>24</v>
      </c>
      <c r="E5" s="2" t="s">
        <v>15</v>
      </c>
    </row>
    <row r="6" spans="1:5" x14ac:dyDescent="0.2">
      <c r="A6" s="6">
        <v>5</v>
      </c>
      <c r="B6" s="2" t="s">
        <v>167</v>
      </c>
      <c r="C6" s="2"/>
      <c r="D6" s="29">
        <v>2</v>
      </c>
      <c r="E6" s="2" t="s">
        <v>15</v>
      </c>
    </row>
    <row r="7" spans="1:5" x14ac:dyDescent="0.2">
      <c r="A7" s="6">
        <v>6</v>
      </c>
      <c r="B7" s="2" t="s">
        <v>168</v>
      </c>
      <c r="C7" s="2"/>
      <c r="D7" s="29">
        <v>1</v>
      </c>
      <c r="E7" s="2" t="s">
        <v>169</v>
      </c>
    </row>
    <row r="8" spans="1:5" x14ac:dyDescent="0.2">
      <c r="A8" s="6">
        <v>7</v>
      </c>
      <c r="B8" s="2" t="s">
        <v>170</v>
      </c>
      <c r="C8" s="2"/>
      <c r="D8" s="30">
        <v>0.5</v>
      </c>
      <c r="E8" s="2" t="s">
        <v>169</v>
      </c>
    </row>
    <row r="9" spans="1:5" x14ac:dyDescent="0.2">
      <c r="A9" s="6">
        <v>8</v>
      </c>
      <c r="B9" s="2" t="s">
        <v>171</v>
      </c>
      <c r="C9" s="2"/>
      <c r="D9" s="30">
        <v>100</v>
      </c>
      <c r="E9" s="2" t="s">
        <v>15</v>
      </c>
    </row>
    <row r="10" spans="1:5" x14ac:dyDescent="0.2">
      <c r="A10" s="27">
        <v>9</v>
      </c>
      <c r="B10" s="31" t="s">
        <v>172</v>
      </c>
      <c r="C10" s="2" t="s">
        <v>17</v>
      </c>
      <c r="D10" s="2">
        <v>2</v>
      </c>
      <c r="E10" s="2" t="s">
        <v>15</v>
      </c>
    </row>
    <row r="11" spans="1:5" x14ac:dyDescent="0.2">
      <c r="A11" s="27"/>
      <c r="B11" s="31"/>
      <c r="C11" s="2" t="s">
        <v>18</v>
      </c>
      <c r="D11" s="2">
        <f>D10/D22</f>
        <v>8.3333333333333329E-2</v>
      </c>
      <c r="E11" s="2" t="s">
        <v>15</v>
      </c>
    </row>
    <row r="12" spans="1:5" x14ac:dyDescent="0.2">
      <c r="A12" s="27"/>
      <c r="B12" s="31"/>
      <c r="C12" s="2" t="s">
        <v>19</v>
      </c>
      <c r="D12" s="32">
        <f>D11/3600</f>
        <v>2.3148148148148147E-5</v>
      </c>
      <c r="E12" s="2" t="s">
        <v>15</v>
      </c>
    </row>
    <row r="13" spans="1:5" x14ac:dyDescent="0.2">
      <c r="A13" s="27">
        <v>10</v>
      </c>
      <c r="B13" s="31" t="s">
        <v>173</v>
      </c>
      <c r="C13" s="2" t="s">
        <v>17</v>
      </c>
      <c r="D13" s="2">
        <v>200000</v>
      </c>
      <c r="E13" s="2" t="s">
        <v>15</v>
      </c>
    </row>
    <row r="14" spans="1:5" x14ac:dyDescent="0.2">
      <c r="A14" s="27"/>
      <c r="B14" s="31"/>
      <c r="C14" s="2" t="s">
        <v>18</v>
      </c>
      <c r="D14" s="2">
        <f>D13/D22</f>
        <v>8333.3333333333339</v>
      </c>
      <c r="E14" s="2" t="s">
        <v>15</v>
      </c>
    </row>
    <row r="15" spans="1:5" x14ac:dyDescent="0.2">
      <c r="A15" s="27"/>
      <c r="B15" s="31"/>
      <c r="C15" s="2" t="s">
        <v>19</v>
      </c>
      <c r="D15" s="2">
        <f>D14/3600</f>
        <v>2.3148148148148149</v>
      </c>
      <c r="E15" s="2" t="s">
        <v>15</v>
      </c>
    </row>
    <row r="16" spans="1:5" x14ac:dyDescent="0.2">
      <c r="A16" s="27">
        <v>11</v>
      </c>
      <c r="B16" s="20" t="s">
        <v>174</v>
      </c>
      <c r="C16" s="2" t="s">
        <v>17</v>
      </c>
      <c r="D16">
        <v>2400</v>
      </c>
      <c r="E16" s="2" t="s">
        <v>15</v>
      </c>
    </row>
    <row r="17" spans="1:5" x14ac:dyDescent="0.2">
      <c r="A17" s="27"/>
      <c r="B17" s="20"/>
      <c r="C17" s="2" t="s">
        <v>18</v>
      </c>
      <c r="D17" s="2">
        <f>D16/D22</f>
        <v>100</v>
      </c>
      <c r="E17" s="2" t="s">
        <v>15</v>
      </c>
    </row>
    <row r="18" spans="1:5" x14ac:dyDescent="0.2">
      <c r="A18" s="27"/>
      <c r="B18" s="20"/>
      <c r="C18" s="2" t="s">
        <v>19</v>
      </c>
      <c r="D18" s="2">
        <f>D17/3600</f>
        <v>2.7777777777777776E-2</v>
      </c>
      <c r="E18" s="2" t="s">
        <v>15</v>
      </c>
    </row>
    <row r="19" spans="1:5" x14ac:dyDescent="0.2">
      <c r="A19" s="27">
        <v>12</v>
      </c>
      <c r="B19" s="20" t="s">
        <v>20</v>
      </c>
      <c r="C19" s="2" t="s">
        <v>17</v>
      </c>
      <c r="D19" s="2">
        <f>D4*D16</f>
        <v>120000000</v>
      </c>
      <c r="E19" s="2" t="s">
        <v>15</v>
      </c>
    </row>
    <row r="20" spans="1:5" x14ac:dyDescent="0.2">
      <c r="A20" s="27"/>
      <c r="B20" s="20"/>
      <c r="C20" s="2" t="s">
        <v>18</v>
      </c>
      <c r="D20" s="2">
        <f>D19/D22</f>
        <v>5000000</v>
      </c>
      <c r="E20" s="2" t="s">
        <v>15</v>
      </c>
    </row>
    <row r="21" spans="1:5" x14ac:dyDescent="0.2">
      <c r="A21" s="27"/>
      <c r="B21" s="20"/>
      <c r="C21" s="2" t="s">
        <v>19</v>
      </c>
      <c r="D21" s="2">
        <f>D20/3600</f>
        <v>1388.8888888888889</v>
      </c>
      <c r="E21" s="2" t="s">
        <v>15</v>
      </c>
    </row>
    <row r="22" spans="1:5" x14ac:dyDescent="0.2">
      <c r="A22" s="2">
        <v>13</v>
      </c>
      <c r="B22" s="2" t="s">
        <v>21</v>
      </c>
      <c r="C22" s="2"/>
      <c r="D22" s="2">
        <v>24</v>
      </c>
      <c r="E22" s="2" t="s">
        <v>22</v>
      </c>
    </row>
    <row r="23" spans="1:5" x14ac:dyDescent="0.2">
      <c r="A23" s="2">
        <v>14</v>
      </c>
      <c r="B23" s="2" t="s">
        <v>175</v>
      </c>
      <c r="C23" s="2"/>
      <c r="D23" s="2">
        <v>1</v>
      </c>
      <c r="E23" s="2" t="s">
        <v>169</v>
      </c>
    </row>
    <row r="24" spans="1:5" x14ac:dyDescent="0.2">
      <c r="A24" s="2">
        <v>15</v>
      </c>
      <c r="B24" s="3" t="s">
        <v>176</v>
      </c>
      <c r="C24" s="2" t="s">
        <v>19</v>
      </c>
      <c r="D24" s="2">
        <f>D15*D23*8</f>
        <v>18.518518518518519</v>
      </c>
      <c r="E24" s="2" t="s">
        <v>177</v>
      </c>
    </row>
    <row r="25" spans="1:5" x14ac:dyDescent="0.2">
      <c r="A25" s="2">
        <v>16</v>
      </c>
      <c r="B25" s="3" t="s">
        <v>178</v>
      </c>
      <c r="C25" s="2" t="s">
        <v>19</v>
      </c>
      <c r="D25" s="2">
        <f>D21*D23*8</f>
        <v>11111.111111111111</v>
      </c>
      <c r="E25" s="2" t="s">
        <v>177</v>
      </c>
    </row>
    <row r="26" spans="1:5" x14ac:dyDescent="0.2">
      <c r="A26" s="2">
        <v>17</v>
      </c>
      <c r="B26" s="2" t="s">
        <v>24</v>
      </c>
      <c r="C26" s="2"/>
      <c r="D26" s="33" t="s">
        <v>179</v>
      </c>
      <c r="E26" s="2" t="s">
        <v>15</v>
      </c>
    </row>
    <row r="27" spans="1:5" x14ac:dyDescent="0.2">
      <c r="A27" s="2">
        <v>18</v>
      </c>
      <c r="B27" s="2" t="s">
        <v>25</v>
      </c>
      <c r="C27" s="2"/>
      <c r="D27" s="2">
        <f>D21/D15</f>
        <v>600</v>
      </c>
      <c r="E27" s="2" t="s">
        <v>180</v>
      </c>
    </row>
    <row r="28" spans="1:5" x14ac:dyDescent="0.2">
      <c r="A28" s="18">
        <v>19</v>
      </c>
      <c r="B28" s="18" t="s">
        <v>181</v>
      </c>
      <c r="C28" s="2" t="s">
        <v>26</v>
      </c>
      <c r="D28" s="2">
        <f>D13*D23*365/1024/1024</f>
        <v>69.61822509765625</v>
      </c>
      <c r="E28" s="2" t="s">
        <v>182</v>
      </c>
    </row>
    <row r="29" spans="1:5" x14ac:dyDescent="0.2">
      <c r="A29" s="18"/>
      <c r="B29" s="18"/>
      <c r="C29" s="2" t="s">
        <v>27</v>
      </c>
      <c r="D29" s="2">
        <f>D28*3</f>
        <v>208.85467529296875</v>
      </c>
      <c r="E29" s="2" t="s">
        <v>182</v>
      </c>
    </row>
    <row r="30" spans="1:5" x14ac:dyDescent="0.2">
      <c r="A30" s="18"/>
      <c r="B30" s="18"/>
      <c r="C30" s="2" t="s">
        <v>28</v>
      </c>
      <c r="D30" s="7">
        <f>D28*5</f>
        <v>348.09112548828125</v>
      </c>
      <c r="E30" s="2" t="s">
        <v>182</v>
      </c>
    </row>
    <row r="31" spans="1:5" x14ac:dyDescent="0.2">
      <c r="A31" s="21" t="s">
        <v>190</v>
      </c>
      <c r="B31" s="24" t="s">
        <v>183</v>
      </c>
      <c r="C31" t="s">
        <v>26</v>
      </c>
      <c r="D31" s="7">
        <v>1</v>
      </c>
      <c r="E31" s="2" t="s">
        <v>15</v>
      </c>
    </row>
    <row r="32" spans="1:5" x14ac:dyDescent="0.2">
      <c r="A32" s="22"/>
      <c r="B32" s="25"/>
      <c r="C32" s="2" t="s">
        <v>27</v>
      </c>
      <c r="D32" s="7">
        <v>2</v>
      </c>
      <c r="E32" s="2" t="s">
        <v>15</v>
      </c>
    </row>
    <row r="33" spans="1:5" x14ac:dyDescent="0.2">
      <c r="A33" s="23"/>
      <c r="B33" s="26"/>
      <c r="C33" t="s">
        <v>28</v>
      </c>
      <c r="D33" s="7">
        <v>4</v>
      </c>
      <c r="E33" s="2" t="s">
        <v>15</v>
      </c>
    </row>
    <row r="34" spans="1:5" x14ac:dyDescent="0.2">
      <c r="A34" s="18">
        <v>21</v>
      </c>
      <c r="B34" s="19" t="s">
        <v>184</v>
      </c>
      <c r="C34" s="2" t="s">
        <v>26</v>
      </c>
      <c r="D34" s="3">
        <v>130</v>
      </c>
      <c r="E34" s="2" t="s">
        <v>23</v>
      </c>
    </row>
    <row r="35" spans="1:5" x14ac:dyDescent="0.2">
      <c r="A35" s="18"/>
      <c r="B35" s="19"/>
      <c r="C35" s="2" t="s">
        <v>27</v>
      </c>
      <c r="D35" s="3">
        <v>220</v>
      </c>
      <c r="E35" s="2" t="s">
        <v>23</v>
      </c>
    </row>
    <row r="36" spans="1:5" x14ac:dyDescent="0.2">
      <c r="A36" s="18"/>
      <c r="B36" s="19"/>
      <c r="C36" s="2" t="s">
        <v>28</v>
      </c>
      <c r="D36" s="3">
        <v>325</v>
      </c>
      <c r="E36" s="2" t="s">
        <v>23</v>
      </c>
    </row>
    <row r="37" spans="1:5" x14ac:dyDescent="0.2">
      <c r="A37" s="18">
        <v>22</v>
      </c>
      <c r="B37" s="19" t="s">
        <v>185</v>
      </c>
      <c r="C37" s="2" t="s">
        <v>26</v>
      </c>
      <c r="D37" s="34">
        <v>7300</v>
      </c>
      <c r="E37" s="2" t="s">
        <v>23</v>
      </c>
    </row>
    <row r="38" spans="1:5" x14ac:dyDescent="0.2">
      <c r="A38" s="18"/>
      <c r="B38" s="19"/>
      <c r="C38" s="2" t="s">
        <v>27</v>
      </c>
      <c r="D38" s="29">
        <v>22000</v>
      </c>
      <c r="E38" s="2" t="s">
        <v>23</v>
      </c>
    </row>
    <row r="39" spans="1:5" x14ac:dyDescent="0.2">
      <c r="A39" s="18"/>
      <c r="B39" s="19"/>
      <c r="C39" s="2" t="s">
        <v>28</v>
      </c>
      <c r="D39" s="29">
        <v>36500</v>
      </c>
      <c r="E39" s="2" t="s">
        <v>23</v>
      </c>
    </row>
    <row r="40" spans="1:5" x14ac:dyDescent="0.2">
      <c r="A40" s="18">
        <v>23</v>
      </c>
      <c r="B40" s="19" t="s">
        <v>29</v>
      </c>
      <c r="C40" s="2" t="s">
        <v>26</v>
      </c>
      <c r="D40" s="34">
        <v>2900</v>
      </c>
      <c r="E40" s="2" t="s">
        <v>23</v>
      </c>
    </row>
    <row r="41" spans="1:5" x14ac:dyDescent="0.2">
      <c r="A41" s="18"/>
      <c r="B41" s="19"/>
      <c r="C41" s="2" t="s">
        <v>27</v>
      </c>
      <c r="D41" s="29">
        <v>5800</v>
      </c>
      <c r="E41" s="2" t="s">
        <v>23</v>
      </c>
    </row>
    <row r="42" spans="1:5" x14ac:dyDescent="0.2">
      <c r="A42" s="18"/>
      <c r="B42" s="19"/>
      <c r="C42" s="2" t="s">
        <v>28</v>
      </c>
      <c r="D42" s="29">
        <v>8700</v>
      </c>
      <c r="E42" s="2" t="s">
        <v>23</v>
      </c>
    </row>
  </sheetData>
  <mergeCells count="18">
    <mergeCell ref="A10:A12"/>
    <mergeCell ref="B10:B12"/>
    <mergeCell ref="A13:A15"/>
    <mergeCell ref="B13:B15"/>
    <mergeCell ref="A16:A18"/>
    <mergeCell ref="B16:B18"/>
    <mergeCell ref="A19:A21"/>
    <mergeCell ref="B19:B21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</mergeCells>
  <pageMargins left="0.70078740157480324" right="0.70078740157480324" top="0.75196850393700787" bottom="0.75196850393700787" header="0.3" footer="0.3"/>
  <pageSetup paperSize="9" orientation="portrait"/>
  <extLst>
    <ext uri="{231B7EB2-2AFC-4442-B178-5FFDF5851E7C}">
      <userProtectedRanges>
        <userProtectedRange name="Ресурсы" sqref="A1:E36">
          <users>
            <user id="280957301" name="Alexander Goncharov"/>
          </users>
        </userProtectedRange>
      </userProtectedRange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="192" workbookViewId="0">
      <selection activeCell="D13" sqref="D13"/>
    </sheetView>
  </sheetViews>
  <sheetFormatPr defaultColWidth="9" defaultRowHeight="12.75" x14ac:dyDescent="0.2"/>
  <cols>
    <col min="1" max="1" width="3.85546875" customWidth="1"/>
    <col min="2" max="2" width="20" customWidth="1"/>
    <col min="3" max="3" width="22.85546875" customWidth="1"/>
  </cols>
  <sheetData>
    <row r="1" spans="1:4" x14ac:dyDescent="0.2">
      <c r="A1" s="1" t="s">
        <v>0</v>
      </c>
      <c r="B1" s="1" t="s">
        <v>30</v>
      </c>
      <c r="C1" s="1" t="s">
        <v>31</v>
      </c>
      <c r="D1" s="8" t="s">
        <v>32</v>
      </c>
    </row>
    <row r="2" spans="1:4" x14ac:dyDescent="0.2">
      <c r="A2" s="2">
        <v>1</v>
      </c>
      <c r="B2" s="2" t="s">
        <v>37</v>
      </c>
      <c r="C2" s="2">
        <v>99.9</v>
      </c>
      <c r="D2">
        <f t="shared" ref="D2:D7" si="0">C2/100</f>
        <v>0.99900000000000011</v>
      </c>
    </row>
    <row r="3" spans="1:4" x14ac:dyDescent="0.2">
      <c r="A3" s="2">
        <v>2</v>
      </c>
      <c r="B3" s="2" t="s">
        <v>186</v>
      </c>
      <c r="C3" s="2">
        <v>99.95</v>
      </c>
      <c r="D3">
        <f t="shared" si="0"/>
        <v>0.99950000000000006</v>
      </c>
    </row>
    <row r="4" spans="1:4" x14ac:dyDescent="0.2">
      <c r="A4" s="2">
        <v>3</v>
      </c>
      <c r="B4" s="2" t="s">
        <v>33</v>
      </c>
      <c r="C4" s="2">
        <v>99.98</v>
      </c>
      <c r="D4">
        <f t="shared" si="0"/>
        <v>0.99980000000000002</v>
      </c>
    </row>
    <row r="5" spans="1:4" x14ac:dyDescent="0.2">
      <c r="A5" s="2">
        <v>4</v>
      </c>
      <c r="B5" s="2" t="s">
        <v>187</v>
      </c>
      <c r="C5" s="2">
        <v>99.99</v>
      </c>
      <c r="D5">
        <f>C5/100</f>
        <v>0.9998999999999999</v>
      </c>
    </row>
    <row r="6" spans="1:4" ht="25.5" x14ac:dyDescent="0.2">
      <c r="A6" s="2">
        <v>5</v>
      </c>
      <c r="B6" s="36" t="s">
        <v>188</v>
      </c>
      <c r="C6" s="35">
        <v>99.99</v>
      </c>
      <c r="D6">
        <f>C6/100</f>
        <v>0.9998999999999999</v>
      </c>
    </row>
    <row r="7" spans="1:4" x14ac:dyDescent="0.2">
      <c r="A7" s="2">
        <v>6</v>
      </c>
      <c r="B7" s="37" t="s">
        <v>189</v>
      </c>
      <c r="C7" s="37">
        <v>99.95</v>
      </c>
      <c r="D7" s="13">
        <f>C7/100</f>
        <v>0.99950000000000006</v>
      </c>
    </row>
    <row r="10" spans="1:4" x14ac:dyDescent="0.2">
      <c r="B10" s="8" t="s">
        <v>34</v>
      </c>
      <c r="C10">
        <f>D2*D3*D4*100</f>
        <v>99.830079990000016</v>
      </c>
    </row>
  </sheetData>
  <pageMargins left="0.70078740157480324" right="0.70078740157480324" top="0.75196850393700787" bottom="0.75196850393700787" header="0.3" footer="0.3"/>
  <pageSetup paperSize="9" orientation="portrait"/>
  <legacyDrawing r:id="rId1"/>
  <extLst>
    <ext uri="{231B7EB2-2AFC-4442-B178-5FFDF5851E7C}">
      <userProtectedRanges>
        <userProtectedRange name="Доступность" sqref="A1:D8">
          <users>
            <user id="280957301" name="Alexander Goncharov"/>
          </users>
        </userProtectedRange>
      </userProtectedRange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3"/>
  <sheetViews>
    <sheetView workbookViewId="0"/>
  </sheetViews>
  <sheetFormatPr defaultColWidth="9" defaultRowHeight="12.75" x14ac:dyDescent="0.2"/>
  <sheetData>
    <row r="1" spans="2:2" x14ac:dyDescent="0.2">
      <c r="B1" t="s">
        <v>5</v>
      </c>
    </row>
    <row r="2" spans="2:2" x14ac:dyDescent="0.2">
      <c r="B2" t="s">
        <v>6</v>
      </c>
    </row>
    <row r="3" spans="2:2" x14ac:dyDescent="0.2">
      <c r="B3" t="s">
        <v>7</v>
      </c>
    </row>
  </sheetData>
  <pageMargins left="0.70078740157480324" right="0.70078740157480324" top="0.75196850393700787" bottom="0.75196850393700787" header="0.3" footer="0.3"/>
  <pageSetup paperSize="9" orientation="portrait"/>
  <extLst>
    <ext uri="{231B7EB2-2AFC-4442-B178-5FFDF5851E7C}">
      <userProtectedRanges>
        <userProtectedRange name="Словарь" sqref="A1:B3">
          <users>
            <user id="280957301" name="Alexander Goncharov"/>
          </users>
        </userProtectedRange>
      </userProtectedRange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Требования</vt:lpstr>
      <vt:lpstr>Домены</vt:lpstr>
      <vt:lpstr>Расчёт ресурсов</vt:lpstr>
      <vt:lpstr>Доступность</vt:lpstr>
      <vt:lpstr>Словарь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Максим Зайцев</cp:lastModifiedBy>
  <cp:revision>8</cp:revision>
  <dcterms:created xsi:type="dcterms:W3CDTF">2023-08-25T14:01:22Z</dcterms:created>
  <dcterms:modified xsi:type="dcterms:W3CDTF">2026-04-13T22:14:25Z</dcterms:modified>
  <dc:language>ru-RU</dc:language>
</cp:coreProperties>
</file>